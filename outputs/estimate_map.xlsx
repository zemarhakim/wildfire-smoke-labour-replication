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zemarhakim/Library/CloudStorage/Dropbox/wildfire_canada_labour/replication/outputs/"/>
    </mc:Choice>
  </mc:AlternateContent>
  <xr:revisionPtr revIDLastSave="0" documentId="13_ncr:1_{2F007A1D-F2A4-2946-A93A-EB4926C0D550}" xr6:coauthVersionLast="47" xr6:coauthVersionMax="47" xr10:uidLastSave="{00000000-0000-0000-0000-000000000000}"/>
  <bookViews>
    <workbookView xWindow="30240" yWindow="600" windowWidth="38400" windowHeight="21000" tabRatio="500" xr2:uid="{00000000-000D-0000-FFFF-FFFF00000000}"/>
  </bookViews>
  <sheets>
    <sheet name="Map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0" i="1" l="1"/>
  <c r="F36" i="1"/>
  <c r="F32" i="1"/>
  <c r="F30" i="1"/>
  <c r="F29" i="1"/>
  <c r="F28" i="1"/>
  <c r="F27" i="1"/>
  <c r="F26" i="1"/>
  <c r="F25" i="1"/>
  <c r="F31" i="1" s="1"/>
  <c r="F23" i="1"/>
  <c r="F24" i="1" s="1"/>
  <c r="F20" i="1"/>
  <c r="F16" i="1"/>
  <c r="F15" i="1"/>
  <c r="F14" i="1"/>
  <c r="F13" i="1"/>
</calcChain>
</file>

<file path=xl/sharedStrings.xml><?xml version="1.0" encoding="utf-8"?>
<sst xmlns="http://schemas.openxmlformats.org/spreadsheetml/2006/main" count="315" uniqueCount="153">
  <si>
    <t>All coefficients are per 10 µg/m³ of smoke-instrumented PM2.5 (2SLS; CMA×calendar-month and year FE; temperature and precipitation controls; LFS final weights; SEs clustered by CMA×year; May–Oct 2015–2024 excluding 2020).</t>
  </si>
  <si>
    <t>Sheets labelled 'Earnings' hold LOG USUAL HOURLY WAGE (y_log_earn = log of LFS HRLYEARN), reported in the paper as 'Log hourly wage'.</t>
  </si>
  <si>
    <t>Files are in outputs/tables/: estimates.xlsx (code/07_table_replication.R) and density_robustness_n2020.xlsx (code/08_density_robustness.R).</t>
  </si>
  <si>
    <t>ID</t>
  </si>
  <si>
    <t>Document</t>
  </si>
  <si>
    <t>Section</t>
  </si>
  <si>
    <t>Estimate</t>
  </si>
  <si>
    <t>As reported</t>
  </si>
  <si>
    <t>Value (from output)</t>
  </si>
  <si>
    <t>SE</t>
  </si>
  <si>
    <t>Stars (as in sheet)</t>
  </si>
  <si>
    <t>N</t>
  </si>
  <si>
    <t>Output file</t>
  </si>
  <si>
    <t>Sheet</t>
  </si>
  <si>
    <t>Term in sheet</t>
  </si>
  <si>
    <t>Notes</t>
  </si>
  <si>
    <t>Main text</t>
  </si>
  <si>
    <t>Table 1; results paragraph</t>
  </si>
  <si>
    <t>Employed, at work (0/1)</t>
  </si>
  <si>
    <t>0.012*** (0.004); N 1,700,116</t>
  </si>
  <si>
    <t>***</t>
  </si>
  <si>
    <t>estimates.xlsx</t>
  </si>
  <si>
    <t>Baseline_Employment</t>
  </si>
  <si>
    <t>fit_pm25_15_rel</t>
  </si>
  <si>
    <t>y_emp = 1 if LFSSTAT = 1.</t>
  </si>
  <si>
    <t>In labor force (0/1)</t>
  </si>
  <si>
    <t>0.008* (0.004); N 1,700,116</t>
  </si>
  <si>
    <t>*</t>
  </si>
  <si>
    <t>Baseline_LFP</t>
  </si>
  <si>
    <t>Log hourly wage</t>
  </si>
  <si>
    <t>0.018** (0.009); N 909,825</t>
  </si>
  <si>
    <t>**</t>
  </si>
  <si>
    <t>Baseline_Earnings</t>
  </si>
  <si>
    <t>Sheet labelled 'Earnings' holds log usual hourly wage (y_log_earn = log of LFS HRLYEARN).</t>
  </si>
  <si>
    <t>Log hours worked, log(hours+1)</t>
  </si>
  <si>
    <t>0.031** (0.014); N 1,064,322</t>
  </si>
  <si>
    <t>Baseline_AvgHours</t>
  </si>
  <si>
    <t>Actual hours, main job.</t>
  </si>
  <si>
    <t>Absent full week (0/1)</t>
  </si>
  <si>
    <t>−0.007** (0.003); N 1,064,322</t>
  </si>
  <si>
    <t>Baseline_Absent</t>
  </si>
  <si>
    <t>y_condabs: employed respondents absent the full reference week.</t>
  </si>
  <si>
    <t>Results paragraph</t>
  </si>
  <si>
    <t>Hours, % change = 100×(e^β − 1)</t>
  </si>
  <si>
    <t>+0.031 log points, approx. +3.2%, p&lt;0.05</t>
  </si>
  <si>
    <t>From Table 1 hours coefficient.</t>
  </si>
  <si>
    <t>Employment rate, percentage points (β×100)</t>
  </si>
  <si>
    <t>+1.2 pp</t>
  </si>
  <si>
    <t>Labor-force participation, percentage points (β×100)</t>
  </si>
  <si>
    <t>+0.8 pp</t>
  </si>
  <si>
    <t>Hourly wage, % change = 100×(e^β − 1)</t>
  </si>
  <si>
    <t>+0.018 log points, approx. +1.8%, p&lt;0.05</t>
  </si>
  <si>
    <t>Main text; SI Appendix</t>
  </si>
  <si>
    <t>Industry paragraph; SI Industry heterogeneity</t>
  </si>
  <si>
    <t>Non-manufacturing industries with positive net hours effect (of 17)</t>
  </si>
  <si>
    <t>13 of the 17</t>
  </si>
  <si>
    <t>Industry_AvgHours</t>
  </si>
  <si>
    <t>fit_pm25_15_rel + fit_pm25_15_rel × ind_*</t>
  </si>
  <si>
    <t>Counted from the 17 interaction rows in Industry_AvgHours: mining, construction, wholesale, retail, transport, finance, realestate, professional, business_support, healthcare, info_culture, accommodation, other_services.</t>
  </si>
  <si>
    <t>Hours interaction terms significant at 10% (of 17)</t>
  </si>
  <si>
    <t>Main: "few"; SI: five (utilities, finance, education, healthcare, public administration)</t>
  </si>
  <si>
    <t>fit_pm25_15_rel × ind_* (stars)</t>
  </si>
  <si>
    <t>Counted from the 17 interaction rows in Industry_AvgHours: utilities, finance, education, healthcare, public_admin.</t>
  </si>
  <si>
    <t>SI Appendix</t>
  </si>
  <si>
    <t>Industry heterogeneity</t>
  </si>
  <si>
    <t>Hours interaction terms significant at 5% (of 17)</t>
  </si>
  <si>
    <t>two (education, public administration)</t>
  </si>
  <si>
    <t>Counted from the 17 interaction rows in Industry_AvgHours: education, public_admin.</t>
  </si>
  <si>
    <t>Education: net hours effect</t>
  </si>
  <si>
    <t>net −0.565 log points (SI: interaction p&lt;0.01)</t>
  </si>
  <si>
    <t>fit_pm25_15_rel + fit_pm25_15_rel × ind_education</t>
  </si>
  <si>
    <t>Interaction stars: *** Net = manufacturing coefficient + interaction.</t>
  </si>
  <si>
    <t>Pre/post paragraph; SI Robustness: pre/post</t>
  </si>
  <si>
    <t>Pre-COVID (2015–2019): log hours worked</t>
  </si>
  <si>
    <t>+0.031, s.e. 0.018, p&lt;0.10; n = 549,483</t>
  </si>
  <si>
    <t>Pre_AvgHours</t>
  </si>
  <si>
    <t>Post-COVID (2021–2024): log hours worked</t>
  </si>
  <si>
    <t>+0.003, s.e. 0.013; n = 514,839</t>
  </si>
  <si>
    <t>Post_AvgHours</t>
  </si>
  <si>
    <t>Robustness: pre/post</t>
  </si>
  <si>
    <t>Pre vs post hours: z statistic (independent subsamples)</t>
  </si>
  <si>
    <t>z ≈ 1.3</t>
  </si>
  <si>
    <t>Pre_AvgHours; Post_AvgHours</t>
  </si>
  <si>
    <t>z = (β_pre − β_post) / √(SE_pre² + SE_post²). Computed here; not in an output file.</t>
  </si>
  <si>
    <t>Pre vs post hours: two-sided p-value</t>
  </si>
  <si>
    <t>Main: p≈0.2; SI: p≈0.19</t>
  </si>
  <si>
    <t>Normal approximation from the z row above.</t>
  </si>
  <si>
    <t>Industry heterogeneity; Robustness: density</t>
  </si>
  <si>
    <t>Industry spec, manufacturing (reference): log hours</t>
  </si>
  <si>
    <t>+0.107 log points, p&lt;0.01</t>
  </si>
  <si>
    <t>Reference coefficient; stars: *** Manufacturing (reference) coefficient.</t>
  </si>
  <si>
    <t>Agriculture, forestry &amp; fishing: net hours effect</t>
  </si>
  <si>
    <t>net −0.031</t>
  </si>
  <si>
    <t>fit_pm25_15_rel + fit_pm25_15_rel × ind_ag_combined</t>
  </si>
  <si>
    <t>Net = manufacturing coefficient + interaction.</t>
  </si>
  <si>
    <t>Utilities: net hours effect</t>
  </si>
  <si>
    <t>net −0.030</t>
  </si>
  <si>
    <t>fit_pm25_15_rel + fit_pm25_15_rel × ind_utilities</t>
  </si>
  <si>
    <t>Public administration: net hours effect</t>
  </si>
  <si>
    <t>net −0.001</t>
  </si>
  <si>
    <t>fit_pm25_15_rel + fit_pm25_15_rel × ind_public_admin</t>
  </si>
  <si>
    <t>Robustness: density</t>
  </si>
  <si>
    <t>All-plume instrument (industry spec): absence, manufacturing ref.</t>
  </si>
  <si>
    <t>−0.031, p&lt;0.01</t>
  </si>
  <si>
    <t>Industry_Absent</t>
  </si>
  <si>
    <t>Stars: *** Manufacturing (reference) coefficient.</t>
  </si>
  <si>
    <t>All-plume instrument (industry spec): hourly wage, manufacturing ref.</t>
  </si>
  <si>
    <t>+0.053 log points, p&lt;0.05</t>
  </si>
  <si>
    <t>Industry_Earnings</t>
  </si>
  <si>
    <t>Stars: **. Sheet labelled 'Earnings' holds log usual hourly wage (y_log_earn = log of LFS HRLYEARN). Manufacturing (reference) coefficient.</t>
  </si>
  <si>
    <t>All-plume hours, % change</t>
  </si>
  <si>
    <t>approx. +11.3%</t>
  </si>
  <si>
    <t>All-plume hourly wage, % change</t>
  </si>
  <si>
    <t>approx. +5.4%</t>
  </si>
  <si>
    <t>Medium + Heavy plumes: log hours (manufacturing ref.)</t>
  </si>
  <si>
    <t>+0.086, p&lt;0.01</t>
  </si>
  <si>
    <t>density_robustness_n2020.xlsx</t>
  </si>
  <si>
    <t>MedHeavy_AvgHours</t>
  </si>
  <si>
    <t>Industry-interaction model: manufacturing (reference) coefficient. File last run 27 Jul 2026 — re-run code/08_density_robustness.R to refresh.</t>
  </si>
  <si>
    <t>Medium + Heavy plumes: absence (manufacturing ref.)</t>
  </si>
  <si>
    <t>−0.026, p&lt;0.01</t>
  </si>
  <si>
    <t>MedHeavy_Absent</t>
  </si>
  <si>
    <t>Medium + Heavy plumes: log hourly wage (manufacturing ref.)</t>
  </si>
  <si>
    <t>+0.018, insignificant</t>
  </si>
  <si>
    <t>MedHeavy_Earnings</t>
  </si>
  <si>
    <t>Industry-interaction model: manufacturing (reference) coefficient. File last run 27 Jul 2026 — re-run code/08_density_robustness.R to refresh. Sheet labelled 'Earnings' holds log usual hourly wage (y_log_earn = log of LFS HRLYEARN).</t>
  </si>
  <si>
    <t>Medium + Heavy plumes: hours, % change</t>
  </si>
  <si>
    <t>Heavy plumes only: log hours (manufacturing ref.)</t>
  </si>
  <si>
    <t>+0.067, p&lt;0.01</t>
  </si>
  <si>
    <t>Heavy_AvgHours</t>
  </si>
  <si>
    <t>Heavy plumes only: absence (manufacturing ref.)</t>
  </si>
  <si>
    <t>−0.021, p&lt;0.01</t>
  </si>
  <si>
    <t>Heavy_Absent</t>
  </si>
  <si>
    <t>Heavy plumes only: log hourly wage (manufacturing ref.)</t>
  </si>
  <si>
    <t>+0.004, insignificant</t>
  </si>
  <si>
    <t>Heavy_Earnings</t>
  </si>
  <si>
    <t>Heavy plumes only: hours, % change</t>
  </si>
  <si>
    <t>approx. +6.9%</t>
  </si>
  <si>
    <t>Pre-COVID: absence</t>
  </si>
  <si>
    <t>−0.006, s.e. 0.004</t>
  </si>
  <si>
    <t>Pre_Absent</t>
  </si>
  <si>
    <t>Post-COVID: absence</t>
  </si>
  <si>
    <t>−0.001, s.e. 0.004</t>
  </si>
  <si>
    <t>Post_Absent</t>
  </si>
  <si>
    <t>Pre-COVID: log hourly wage</t>
  </si>
  <si>
    <t>+0.009, s.e. 0.005; n = 469,515</t>
  </si>
  <si>
    <t>Pre_Earnings</t>
  </si>
  <si>
    <t>Post-COVID: log hourly wage</t>
  </si>
  <si>
    <t>−0.007, s.e. 0.004; n = 440,310</t>
  </si>
  <si>
    <t>Post_Earnings</t>
  </si>
  <si>
    <t>Estimate map: Numbers that appear in the paper and SI Appendix mapped to the output that contains it</t>
  </si>
  <si>
    <t>Blue = copied from the output file at full precision (its SANITY_CHECK sheet). Black = formula on this sheet. Industry net effects = manufacturing coefficient + industry interaction, both shown in the formula. 'Term in sheet' is the row label to look for. 'As reported' is the text as it appears in.</t>
  </si>
  <si>
    <t>approx. +8.9%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</si>
</sst>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\%"/>
    <numFmt numFmtId="166" formatCode="0.0"/>
  </numFmts>
  <fonts count="9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4"/>
      <name val="Arial"/>
      <family val="2"/>
    </font>
    <font>
      <sz val="14"/>
      <color theme="1"/>
      <name val="Calibri"/>
      <family val="2"/>
      <charset val="1"/>
    </font>
    <font>
      <i/>
      <sz val="14"/>
      <color rgb="FF555555"/>
      <name val="Arial"/>
      <family val="2"/>
    </font>
    <font>
      <b/>
      <sz val="14"/>
      <color rgb="FFC00000"/>
      <name val="Arial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3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164" fontId="7" fillId="0" borderId="0" xfId="0" applyNumberFormat="1" applyFont="1" applyAlignment="1">
      <alignment vertical="top"/>
    </xf>
    <xf numFmtId="166" fontId="7" fillId="0" borderId="0" xfId="0" applyNumberFormat="1" applyFont="1" applyAlignment="1">
      <alignment vertical="top"/>
    </xf>
    <xf numFmtId="1" fontId="8" fillId="0" borderId="0" xfId="0" applyNumberFormat="1" applyFont="1" applyAlignment="1">
      <alignment vertical="top"/>
    </xf>
    <xf numFmtId="2" fontId="7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timateMap" displayName="EstimateMap" ref="A7:M44" totalsRowShown="0" headerRowDxfId="14" dataDxfId="13">
  <autoFilter ref="A7:M44" xr:uid="{00000000-0009-0000-0100-000001000000}"/>
  <tableColumns count="13">
    <tableColumn id="1" xr3:uid="{00000000-0010-0000-0000-000001000000}" name="ID" dataDxfId="12"/>
    <tableColumn id="2" xr3:uid="{00000000-0010-0000-0000-000002000000}" name="Document" dataDxfId="11"/>
    <tableColumn id="3" xr3:uid="{00000000-0010-0000-0000-000003000000}" name="Section" dataDxfId="10"/>
    <tableColumn id="4" xr3:uid="{00000000-0010-0000-0000-000004000000}" name="Estimate" dataDxfId="9"/>
    <tableColumn id="5" xr3:uid="{00000000-0010-0000-0000-000005000000}" name="As reported" dataDxfId="8"/>
    <tableColumn id="6" xr3:uid="{00000000-0010-0000-0000-000006000000}" name="Value (from output)" dataDxfId="7"/>
    <tableColumn id="7" xr3:uid="{00000000-0010-0000-0000-000007000000}" name="SE" dataDxfId="6"/>
    <tableColumn id="8" xr3:uid="{00000000-0010-0000-0000-000008000000}" name="Stars (as in sheet)" dataDxfId="5"/>
    <tableColumn id="9" xr3:uid="{00000000-0010-0000-0000-000009000000}" name="N" dataDxfId="4"/>
    <tableColumn id="10" xr3:uid="{00000000-0010-0000-0000-00000A000000}" name="Output file" dataDxfId="3"/>
    <tableColumn id="11" xr3:uid="{00000000-0010-0000-0000-00000B000000}" name="Sheet" dataDxfId="2"/>
    <tableColumn id="12" xr3:uid="{00000000-0010-0000-0000-00000C000000}" name="Term in sheet" dataDxfId="1"/>
    <tableColumn id="13" xr3:uid="{00000000-0010-0000-0000-00000D000000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topLeftCell="A28" zoomScale="90" zoomScaleNormal="90" workbookViewId="0">
      <selection activeCell="E36" sqref="E36"/>
    </sheetView>
  </sheetViews>
  <sheetFormatPr baseColWidth="10" defaultColWidth="8.6640625" defaultRowHeight="15" x14ac:dyDescent="0.2"/>
  <cols>
    <col min="1" max="1" width="6.6640625" customWidth="1"/>
    <col min="2" max="2" width="16" customWidth="1"/>
    <col min="3" max="3" width="38.83203125" customWidth="1"/>
    <col min="4" max="4" width="51.5" customWidth="1"/>
    <col min="5" max="5" width="39.83203125" customWidth="1"/>
    <col min="6" max="6" width="17" customWidth="1"/>
    <col min="7" max="8" width="8" customWidth="1"/>
    <col min="9" max="9" width="14.1640625" customWidth="1"/>
    <col min="10" max="10" width="22" customWidth="1"/>
    <col min="11" max="11" width="27.1640625" customWidth="1"/>
    <col min="12" max="12" width="28" customWidth="1"/>
    <col min="13" max="13" width="50" customWidth="1"/>
  </cols>
  <sheetData>
    <row r="1" spans="1:13" ht="19" x14ac:dyDescent="0.25">
      <c r="A1" s="2" t="s">
        <v>150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1" customFormat="1" ht="27.75" customHeight="1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27.75" customHeight="1" x14ac:dyDescent="0.2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29" customHeight="1" x14ac:dyDescent="0.2">
      <c r="A4" s="14" t="s">
        <v>151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27.75" customHeight="1" x14ac:dyDescent="0.2">
      <c r="A5" s="14" t="s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19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76" x14ac:dyDescent="0.2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</row>
    <row r="8" spans="1:13" ht="19" x14ac:dyDescent="0.2">
      <c r="A8" s="5">
        <v>1</v>
      </c>
      <c r="B8" s="6" t="s">
        <v>16</v>
      </c>
      <c r="C8" s="6" t="s">
        <v>17</v>
      </c>
      <c r="D8" s="6" t="s">
        <v>18</v>
      </c>
      <c r="E8" s="6" t="s">
        <v>19</v>
      </c>
      <c r="F8" s="7">
        <v>1.23407727241318E-2</v>
      </c>
      <c r="G8" s="7">
        <v>4.4065054033975296E-3</v>
      </c>
      <c r="H8" s="5" t="s">
        <v>20</v>
      </c>
      <c r="I8" s="8">
        <v>1700116</v>
      </c>
      <c r="J8" s="5" t="s">
        <v>21</v>
      </c>
      <c r="K8" s="6" t="s">
        <v>22</v>
      </c>
      <c r="L8" s="6" t="s">
        <v>23</v>
      </c>
      <c r="M8" s="6" t="s">
        <v>24</v>
      </c>
    </row>
    <row r="9" spans="1:13" ht="19" x14ac:dyDescent="0.2">
      <c r="A9" s="5">
        <v>2</v>
      </c>
      <c r="B9" s="6" t="s">
        <v>16</v>
      </c>
      <c r="C9" s="6" t="s">
        <v>17</v>
      </c>
      <c r="D9" s="6" t="s">
        <v>25</v>
      </c>
      <c r="E9" s="6" t="s">
        <v>26</v>
      </c>
      <c r="F9" s="7">
        <v>7.7236132354057798E-3</v>
      </c>
      <c r="G9" s="7">
        <v>4.1240413149423597E-3</v>
      </c>
      <c r="H9" s="5" t="s">
        <v>27</v>
      </c>
      <c r="I9" s="8">
        <v>1700116</v>
      </c>
      <c r="J9" s="5" t="s">
        <v>21</v>
      </c>
      <c r="K9" s="6" t="s">
        <v>28</v>
      </c>
      <c r="L9" s="6" t="s">
        <v>23</v>
      </c>
      <c r="M9" s="6"/>
    </row>
    <row r="10" spans="1:13" ht="57" x14ac:dyDescent="0.2">
      <c r="A10" s="5">
        <v>3</v>
      </c>
      <c r="B10" s="6" t="s">
        <v>16</v>
      </c>
      <c r="C10" s="6" t="s">
        <v>17</v>
      </c>
      <c r="D10" s="6" t="s">
        <v>29</v>
      </c>
      <c r="E10" s="6" t="s">
        <v>30</v>
      </c>
      <c r="F10" s="7">
        <v>1.8290682113782899E-2</v>
      </c>
      <c r="G10" s="7">
        <v>9.0169863376347095E-3</v>
      </c>
      <c r="H10" s="5" t="s">
        <v>31</v>
      </c>
      <c r="I10" s="8">
        <v>909825</v>
      </c>
      <c r="J10" s="5" t="s">
        <v>21</v>
      </c>
      <c r="K10" s="6" t="s">
        <v>32</v>
      </c>
      <c r="L10" s="6" t="s">
        <v>23</v>
      </c>
      <c r="M10" s="6" t="s">
        <v>33</v>
      </c>
    </row>
    <row r="11" spans="1:13" ht="19" x14ac:dyDescent="0.2">
      <c r="A11" s="5">
        <v>4</v>
      </c>
      <c r="B11" s="6" t="s">
        <v>16</v>
      </c>
      <c r="C11" s="6" t="s">
        <v>17</v>
      </c>
      <c r="D11" s="6" t="s">
        <v>34</v>
      </c>
      <c r="E11" s="6" t="s">
        <v>35</v>
      </c>
      <c r="F11" s="7">
        <v>3.1017010934099701E-2</v>
      </c>
      <c r="G11" s="7">
        <v>1.4464520491812899E-2</v>
      </c>
      <c r="H11" s="5" t="s">
        <v>31</v>
      </c>
      <c r="I11" s="8">
        <v>1064322</v>
      </c>
      <c r="J11" s="5" t="s">
        <v>21</v>
      </c>
      <c r="K11" s="6" t="s">
        <v>36</v>
      </c>
      <c r="L11" s="6" t="s">
        <v>23</v>
      </c>
      <c r="M11" s="6" t="s">
        <v>37</v>
      </c>
    </row>
    <row r="12" spans="1:13" ht="38" x14ac:dyDescent="0.2">
      <c r="A12" s="5">
        <v>5</v>
      </c>
      <c r="B12" s="6" t="s">
        <v>16</v>
      </c>
      <c r="C12" s="6" t="s">
        <v>17</v>
      </c>
      <c r="D12" s="6" t="s">
        <v>38</v>
      </c>
      <c r="E12" s="6" t="s">
        <v>39</v>
      </c>
      <c r="F12" s="7">
        <v>-7.3943304585610296E-3</v>
      </c>
      <c r="G12" s="7">
        <v>3.4226403619426501E-3</v>
      </c>
      <c r="H12" s="5" t="s">
        <v>31</v>
      </c>
      <c r="I12" s="8">
        <v>1064322</v>
      </c>
      <c r="J12" s="5" t="s">
        <v>21</v>
      </c>
      <c r="K12" s="6" t="s">
        <v>40</v>
      </c>
      <c r="L12" s="6" t="s">
        <v>23</v>
      </c>
      <c r="M12" s="6" t="s">
        <v>41</v>
      </c>
    </row>
    <row r="13" spans="1:13" ht="38" x14ac:dyDescent="0.2">
      <c r="A13" s="5">
        <v>6</v>
      </c>
      <c r="B13" s="6" t="s">
        <v>16</v>
      </c>
      <c r="C13" s="6" t="s">
        <v>42</v>
      </c>
      <c r="D13" s="6" t="s">
        <v>43</v>
      </c>
      <c r="E13" s="6" t="s">
        <v>44</v>
      </c>
      <c r="F13" s="9">
        <f>100*(EXP(F11)-1)</f>
        <v>3.1503050567696311</v>
      </c>
      <c r="G13" s="10"/>
      <c r="H13" s="5"/>
      <c r="I13" s="8"/>
      <c r="J13" s="5" t="s">
        <v>21</v>
      </c>
      <c r="K13" s="6" t="s">
        <v>36</v>
      </c>
      <c r="L13" s="6" t="s">
        <v>23</v>
      </c>
      <c r="M13" s="6" t="s">
        <v>45</v>
      </c>
    </row>
    <row r="14" spans="1:13" ht="19" x14ac:dyDescent="0.2">
      <c r="A14" s="5">
        <v>7</v>
      </c>
      <c r="B14" s="6" t="s">
        <v>16</v>
      </c>
      <c r="C14" s="6" t="s">
        <v>42</v>
      </c>
      <c r="D14" s="6" t="s">
        <v>46</v>
      </c>
      <c r="E14" s="6" t="s">
        <v>47</v>
      </c>
      <c r="F14" s="11">
        <f>100*F8</f>
        <v>1.2340772724131799</v>
      </c>
      <c r="G14" s="10"/>
      <c r="H14" s="5"/>
      <c r="I14" s="8"/>
      <c r="J14" s="5" t="s">
        <v>21</v>
      </c>
      <c r="K14" s="6" t="s">
        <v>22</v>
      </c>
      <c r="L14" s="6" t="s">
        <v>23</v>
      </c>
      <c r="M14" s="6"/>
    </row>
    <row r="15" spans="1:13" ht="38" x14ac:dyDescent="0.2">
      <c r="A15" s="5">
        <v>8</v>
      </c>
      <c r="B15" s="6" t="s">
        <v>16</v>
      </c>
      <c r="C15" s="6" t="s">
        <v>42</v>
      </c>
      <c r="D15" s="6" t="s">
        <v>48</v>
      </c>
      <c r="E15" s="6" t="s">
        <v>49</v>
      </c>
      <c r="F15" s="11">
        <f>100*F9</f>
        <v>0.77236132354057796</v>
      </c>
      <c r="G15" s="10"/>
      <c r="H15" s="5"/>
      <c r="I15" s="8"/>
      <c r="J15" s="5" t="s">
        <v>21</v>
      </c>
      <c r="K15" s="6" t="s">
        <v>28</v>
      </c>
      <c r="L15" s="6" t="s">
        <v>23</v>
      </c>
      <c r="M15" s="6"/>
    </row>
    <row r="16" spans="1:13" ht="57" x14ac:dyDescent="0.2">
      <c r="A16" s="5">
        <v>9</v>
      </c>
      <c r="B16" s="6" t="s">
        <v>16</v>
      </c>
      <c r="C16" s="6" t="s">
        <v>42</v>
      </c>
      <c r="D16" s="6" t="s">
        <v>50</v>
      </c>
      <c r="E16" s="6" t="s">
        <v>51</v>
      </c>
      <c r="F16" s="9">
        <f>100*(EXP(F10)-1)</f>
        <v>1.8458981175510258</v>
      </c>
      <c r="G16" s="10"/>
      <c r="H16" s="5"/>
      <c r="I16" s="8"/>
      <c r="J16" s="5" t="s">
        <v>21</v>
      </c>
      <c r="K16" s="6" t="s">
        <v>32</v>
      </c>
      <c r="L16" s="6" t="s">
        <v>23</v>
      </c>
      <c r="M16" s="6" t="s">
        <v>33</v>
      </c>
    </row>
    <row r="17" spans="1:13" ht="130" customHeight="1" x14ac:dyDescent="0.2">
      <c r="A17" s="5">
        <v>10</v>
      </c>
      <c r="B17" s="6" t="s">
        <v>52</v>
      </c>
      <c r="C17" s="6" t="s">
        <v>53</v>
      </c>
      <c r="D17" s="6" t="s">
        <v>54</v>
      </c>
      <c r="E17" s="6" t="s">
        <v>55</v>
      </c>
      <c r="F17" s="12">
        <v>13</v>
      </c>
      <c r="G17" s="10"/>
      <c r="H17" s="5"/>
      <c r="I17" s="8"/>
      <c r="J17" s="5" t="s">
        <v>21</v>
      </c>
      <c r="K17" s="6" t="s">
        <v>56</v>
      </c>
      <c r="L17" s="6" t="s">
        <v>57</v>
      </c>
      <c r="M17" s="6" t="s">
        <v>58</v>
      </c>
    </row>
    <row r="18" spans="1:13" ht="57" x14ac:dyDescent="0.2">
      <c r="A18" s="5">
        <v>11</v>
      </c>
      <c r="B18" s="6" t="s">
        <v>52</v>
      </c>
      <c r="C18" s="6" t="s">
        <v>53</v>
      </c>
      <c r="D18" s="6" t="s">
        <v>59</v>
      </c>
      <c r="E18" s="6" t="s">
        <v>60</v>
      </c>
      <c r="F18" s="12">
        <v>5</v>
      </c>
      <c r="G18" s="10"/>
      <c r="H18" s="5"/>
      <c r="I18" s="8"/>
      <c r="J18" s="5" t="s">
        <v>21</v>
      </c>
      <c r="K18" s="6" t="s">
        <v>56</v>
      </c>
      <c r="L18" s="6" t="s">
        <v>61</v>
      </c>
      <c r="M18" s="6" t="s">
        <v>62</v>
      </c>
    </row>
    <row r="19" spans="1:13" ht="57" x14ac:dyDescent="0.2">
      <c r="A19" s="5">
        <v>12</v>
      </c>
      <c r="B19" s="6" t="s">
        <v>63</v>
      </c>
      <c r="C19" s="6" t="s">
        <v>64</v>
      </c>
      <c r="D19" s="6" t="s">
        <v>65</v>
      </c>
      <c r="E19" s="6" t="s">
        <v>66</v>
      </c>
      <c r="F19" s="12">
        <v>2</v>
      </c>
      <c r="G19" s="10"/>
      <c r="H19" s="5"/>
      <c r="I19" s="8"/>
      <c r="J19" s="5" t="s">
        <v>21</v>
      </c>
      <c r="K19" s="6" t="s">
        <v>56</v>
      </c>
      <c r="L19" s="6" t="s">
        <v>61</v>
      </c>
      <c r="M19" s="6" t="s">
        <v>67</v>
      </c>
    </row>
    <row r="20" spans="1:13" ht="57" x14ac:dyDescent="0.2">
      <c r="A20" s="5">
        <v>13</v>
      </c>
      <c r="B20" s="6" t="s">
        <v>52</v>
      </c>
      <c r="C20" s="6" t="s">
        <v>53</v>
      </c>
      <c r="D20" s="6" t="s">
        <v>68</v>
      </c>
      <c r="E20" s="6" t="s">
        <v>69</v>
      </c>
      <c r="F20" s="7">
        <f>0.107060402153039+(-0.672007500189001)</f>
        <v>-0.56494709803596199</v>
      </c>
      <c r="G20" s="10"/>
      <c r="H20" s="5"/>
      <c r="I20" s="8"/>
      <c r="J20" s="5" t="s">
        <v>21</v>
      </c>
      <c r="K20" s="6" t="s">
        <v>56</v>
      </c>
      <c r="L20" s="6" t="s">
        <v>70</v>
      </c>
      <c r="M20" s="6" t="s">
        <v>71</v>
      </c>
    </row>
    <row r="21" spans="1:13" ht="38" x14ac:dyDescent="0.2">
      <c r="A21" s="5">
        <v>14</v>
      </c>
      <c r="B21" s="6" t="s">
        <v>52</v>
      </c>
      <c r="C21" s="6" t="s">
        <v>72</v>
      </c>
      <c r="D21" s="6" t="s">
        <v>73</v>
      </c>
      <c r="E21" s="6" t="s">
        <v>74</v>
      </c>
      <c r="F21" s="7">
        <v>3.1238709261235498E-2</v>
      </c>
      <c r="G21" s="7">
        <v>1.7537396804299998E-2</v>
      </c>
      <c r="H21" s="5" t="s">
        <v>27</v>
      </c>
      <c r="I21" s="8">
        <v>549483</v>
      </c>
      <c r="J21" s="5" t="s">
        <v>21</v>
      </c>
      <c r="K21" s="6" t="s">
        <v>75</v>
      </c>
      <c r="L21" s="6" t="s">
        <v>23</v>
      </c>
      <c r="M21" s="6"/>
    </row>
    <row r="22" spans="1:13" ht="38" x14ac:dyDescent="0.2">
      <c r="A22" s="5">
        <v>15</v>
      </c>
      <c r="B22" s="6" t="s">
        <v>52</v>
      </c>
      <c r="C22" s="6" t="s">
        <v>72</v>
      </c>
      <c r="D22" s="6" t="s">
        <v>76</v>
      </c>
      <c r="E22" s="6" t="s">
        <v>77</v>
      </c>
      <c r="F22" s="7">
        <v>2.5802852393323901E-3</v>
      </c>
      <c r="G22" s="7">
        <v>1.3431982469582601E-2</v>
      </c>
      <c r="H22" s="5"/>
      <c r="I22" s="8">
        <v>514839</v>
      </c>
      <c r="J22" s="5" t="s">
        <v>21</v>
      </c>
      <c r="K22" s="6" t="s">
        <v>78</v>
      </c>
      <c r="L22" s="6" t="s">
        <v>23</v>
      </c>
      <c r="M22" s="6"/>
    </row>
    <row r="23" spans="1:13" ht="57" x14ac:dyDescent="0.2">
      <c r="A23" s="5">
        <v>16</v>
      </c>
      <c r="B23" s="6" t="s">
        <v>63</v>
      </c>
      <c r="C23" s="6" t="s">
        <v>79</v>
      </c>
      <c r="D23" s="6" t="s">
        <v>80</v>
      </c>
      <c r="E23" s="6" t="s">
        <v>81</v>
      </c>
      <c r="F23" s="13">
        <f>(F21-F22)/SQRT(G21^2+G22^2)</f>
        <v>1.2973345586152603</v>
      </c>
      <c r="G23" s="10"/>
      <c r="H23" s="5"/>
      <c r="I23" s="8"/>
      <c r="J23" s="5" t="s">
        <v>21</v>
      </c>
      <c r="K23" s="6" t="s">
        <v>82</v>
      </c>
      <c r="L23" s="6" t="s">
        <v>23</v>
      </c>
      <c r="M23" s="6" t="s">
        <v>83</v>
      </c>
    </row>
    <row r="24" spans="1:13" ht="38" x14ac:dyDescent="0.2">
      <c r="A24" s="5">
        <v>17</v>
      </c>
      <c r="B24" s="6" t="s">
        <v>52</v>
      </c>
      <c r="C24" s="6" t="s">
        <v>72</v>
      </c>
      <c r="D24" s="6" t="s">
        <v>84</v>
      </c>
      <c r="E24" s="6" t="s">
        <v>85</v>
      </c>
      <c r="F24" s="13">
        <f>2*(1-NORMSDIST(ABS(F23)))</f>
        <v>0.19451609854289775</v>
      </c>
      <c r="G24" s="10"/>
      <c r="H24" s="5"/>
      <c r="I24" s="8"/>
      <c r="J24" s="5" t="s">
        <v>21</v>
      </c>
      <c r="K24" s="6" t="s">
        <v>82</v>
      </c>
      <c r="L24" s="6" t="s">
        <v>23</v>
      </c>
      <c r="M24" s="6" t="s">
        <v>86</v>
      </c>
    </row>
    <row r="25" spans="1:13" ht="38" x14ac:dyDescent="0.2">
      <c r="A25" s="5">
        <v>18</v>
      </c>
      <c r="B25" s="6" t="s">
        <v>63</v>
      </c>
      <c r="C25" s="6" t="s">
        <v>87</v>
      </c>
      <c r="D25" s="6" t="s">
        <v>88</v>
      </c>
      <c r="E25" s="6" t="s">
        <v>89</v>
      </c>
      <c r="F25" s="7">
        <f>0.107060402153039</f>
        <v>0.107060402153039</v>
      </c>
      <c r="G25" s="10"/>
      <c r="H25" s="5"/>
      <c r="I25" s="8"/>
      <c r="J25" s="5" t="s">
        <v>21</v>
      </c>
      <c r="K25" s="6" t="s">
        <v>56</v>
      </c>
      <c r="L25" s="6" t="s">
        <v>23</v>
      </c>
      <c r="M25" s="6" t="s">
        <v>90</v>
      </c>
    </row>
    <row r="26" spans="1:13" ht="57" x14ac:dyDescent="0.2">
      <c r="A26" s="5">
        <v>19</v>
      </c>
      <c r="B26" s="6" t="s">
        <v>63</v>
      </c>
      <c r="C26" s="6" t="s">
        <v>64</v>
      </c>
      <c r="D26" s="6" t="s">
        <v>91</v>
      </c>
      <c r="E26" s="6" t="s">
        <v>92</v>
      </c>
      <c r="F26" s="7">
        <f>0.107060402153039+(-0.137698594357386)</f>
        <v>-3.0638192204346992E-2</v>
      </c>
      <c r="G26" s="10"/>
      <c r="H26" s="5"/>
      <c r="I26" s="8"/>
      <c r="J26" s="5" t="s">
        <v>21</v>
      </c>
      <c r="K26" s="6" t="s">
        <v>56</v>
      </c>
      <c r="L26" s="6" t="s">
        <v>93</v>
      </c>
      <c r="M26" s="6" t="s">
        <v>94</v>
      </c>
    </row>
    <row r="27" spans="1:13" ht="57" x14ac:dyDescent="0.2">
      <c r="A27" s="5">
        <v>20</v>
      </c>
      <c r="B27" s="6" t="s">
        <v>63</v>
      </c>
      <c r="C27" s="6" t="s">
        <v>64</v>
      </c>
      <c r="D27" s="6" t="s">
        <v>95</v>
      </c>
      <c r="E27" s="6" t="s">
        <v>96</v>
      </c>
      <c r="F27" s="7">
        <f>0.107060402153039+(-0.137335992859142)</f>
        <v>-3.0275590706103001E-2</v>
      </c>
      <c r="G27" s="10"/>
      <c r="H27" s="5"/>
      <c r="I27" s="8"/>
      <c r="J27" s="5" t="s">
        <v>21</v>
      </c>
      <c r="K27" s="6" t="s">
        <v>56</v>
      </c>
      <c r="L27" s="6" t="s">
        <v>97</v>
      </c>
      <c r="M27" s="6" t="s">
        <v>94</v>
      </c>
    </row>
    <row r="28" spans="1:13" ht="57" x14ac:dyDescent="0.2">
      <c r="A28" s="5">
        <v>21</v>
      </c>
      <c r="B28" s="6" t="s">
        <v>63</v>
      </c>
      <c r="C28" s="6" t="s">
        <v>64</v>
      </c>
      <c r="D28" s="6" t="s">
        <v>98</v>
      </c>
      <c r="E28" s="6" t="s">
        <v>99</v>
      </c>
      <c r="F28" s="7">
        <f>0.107060402153039+(-0.108151161970121)</f>
        <v>-1.090759817081996E-3</v>
      </c>
      <c r="G28" s="10"/>
      <c r="H28" s="5"/>
      <c r="I28" s="8"/>
      <c r="J28" s="5" t="s">
        <v>21</v>
      </c>
      <c r="K28" s="6" t="s">
        <v>56</v>
      </c>
      <c r="L28" s="6" t="s">
        <v>100</v>
      </c>
      <c r="M28" s="6" t="s">
        <v>94</v>
      </c>
    </row>
    <row r="29" spans="1:13" ht="38" x14ac:dyDescent="0.2">
      <c r="A29" s="5">
        <v>22</v>
      </c>
      <c r="B29" s="6" t="s">
        <v>63</v>
      </c>
      <c r="C29" s="6" t="s">
        <v>101</v>
      </c>
      <c r="D29" s="6" t="s">
        <v>102</v>
      </c>
      <c r="E29" s="6" t="s">
        <v>103</v>
      </c>
      <c r="F29" s="7">
        <f>-0.0312849548798756</f>
        <v>-3.12849548798756E-2</v>
      </c>
      <c r="G29" s="10"/>
      <c r="H29" s="5"/>
      <c r="I29" s="8"/>
      <c r="J29" s="5" t="s">
        <v>21</v>
      </c>
      <c r="K29" s="6" t="s">
        <v>104</v>
      </c>
      <c r="L29" s="6" t="s">
        <v>23</v>
      </c>
      <c r="M29" s="6" t="s">
        <v>105</v>
      </c>
    </row>
    <row r="30" spans="1:13" ht="76" x14ac:dyDescent="0.2">
      <c r="A30" s="5">
        <v>23</v>
      </c>
      <c r="B30" s="6" t="s">
        <v>63</v>
      </c>
      <c r="C30" s="6" t="s">
        <v>101</v>
      </c>
      <c r="D30" s="6" t="s">
        <v>106</v>
      </c>
      <c r="E30" s="6" t="s">
        <v>107</v>
      </c>
      <c r="F30" s="7">
        <f>0.0528732813007289</f>
        <v>5.2873281300728901E-2</v>
      </c>
      <c r="G30" s="10"/>
      <c r="H30" s="5"/>
      <c r="I30" s="8"/>
      <c r="J30" s="5" t="s">
        <v>21</v>
      </c>
      <c r="K30" s="6" t="s">
        <v>108</v>
      </c>
      <c r="L30" s="6" t="s">
        <v>23</v>
      </c>
      <c r="M30" s="6" t="s">
        <v>109</v>
      </c>
    </row>
    <row r="31" spans="1:13" ht="19" x14ac:dyDescent="0.2">
      <c r="A31" s="5">
        <v>24</v>
      </c>
      <c r="B31" s="6" t="s">
        <v>63</v>
      </c>
      <c r="C31" s="6" t="s">
        <v>101</v>
      </c>
      <c r="D31" s="6" t="s">
        <v>110</v>
      </c>
      <c r="E31" s="6" t="s">
        <v>111</v>
      </c>
      <c r="F31" s="9">
        <f>100*(EXP(F25)-1)</f>
        <v>11.300148013475365</v>
      </c>
      <c r="G31" s="10"/>
      <c r="H31" s="5"/>
      <c r="I31" s="8"/>
      <c r="J31" s="5" t="s">
        <v>21</v>
      </c>
      <c r="K31" s="6" t="s">
        <v>56</v>
      </c>
      <c r="L31" s="6" t="s">
        <v>23</v>
      </c>
      <c r="M31" s="6"/>
    </row>
    <row r="32" spans="1:13" ht="57" x14ac:dyDescent="0.2">
      <c r="A32" s="5">
        <v>25</v>
      </c>
      <c r="B32" s="6" t="s">
        <v>63</v>
      </c>
      <c r="C32" s="6" t="s">
        <v>101</v>
      </c>
      <c r="D32" s="6" t="s">
        <v>112</v>
      </c>
      <c r="E32" s="6" t="s">
        <v>113</v>
      </c>
      <c r="F32" s="9">
        <f>100*(EXP(F30)-1)</f>
        <v>5.4296037631715866</v>
      </c>
      <c r="G32" s="10"/>
      <c r="H32" s="5"/>
      <c r="I32" s="8"/>
      <c r="J32" s="5" t="s">
        <v>21</v>
      </c>
      <c r="K32" s="6" t="s">
        <v>108</v>
      </c>
      <c r="L32" s="6" t="s">
        <v>23</v>
      </c>
      <c r="M32" s="6" t="s">
        <v>33</v>
      </c>
    </row>
    <row r="33" spans="1:13" ht="76" x14ac:dyDescent="0.2">
      <c r="A33" s="5">
        <v>26</v>
      </c>
      <c r="B33" s="6" t="s">
        <v>63</v>
      </c>
      <c r="C33" s="6" t="s">
        <v>101</v>
      </c>
      <c r="D33" s="6" t="s">
        <v>114</v>
      </c>
      <c r="E33" s="6" t="s">
        <v>115</v>
      </c>
      <c r="F33" s="7">
        <v>8.5522318246722295E-2</v>
      </c>
      <c r="G33" s="7">
        <v>1.9406391420463801E-2</v>
      </c>
      <c r="H33" s="5" t="s">
        <v>20</v>
      </c>
      <c r="I33" s="8">
        <v>1064322</v>
      </c>
      <c r="J33" s="5" t="s">
        <v>116</v>
      </c>
      <c r="K33" s="6" t="s">
        <v>117</v>
      </c>
      <c r="L33" s="6" t="s">
        <v>23</v>
      </c>
      <c r="M33" s="6" t="s">
        <v>118</v>
      </c>
    </row>
    <row r="34" spans="1:13" ht="76" x14ac:dyDescent="0.2">
      <c r="A34" s="5">
        <v>27</v>
      </c>
      <c r="B34" s="6" t="s">
        <v>63</v>
      </c>
      <c r="C34" s="6" t="s">
        <v>101</v>
      </c>
      <c r="D34" s="6" t="s">
        <v>119</v>
      </c>
      <c r="E34" s="6" t="s">
        <v>120</v>
      </c>
      <c r="F34" s="7">
        <v>-2.63266475863051E-2</v>
      </c>
      <c r="G34" s="7">
        <v>6.0169822836592304E-3</v>
      </c>
      <c r="H34" s="5" t="s">
        <v>20</v>
      </c>
      <c r="I34" s="8">
        <v>1064322</v>
      </c>
      <c r="J34" s="5" t="s">
        <v>116</v>
      </c>
      <c r="K34" s="6" t="s">
        <v>121</v>
      </c>
      <c r="L34" s="6" t="s">
        <v>23</v>
      </c>
      <c r="M34" s="6" t="s">
        <v>118</v>
      </c>
    </row>
    <row r="35" spans="1:13" ht="133" x14ac:dyDescent="0.2">
      <c r="A35" s="5">
        <v>28</v>
      </c>
      <c r="B35" s="6" t="s">
        <v>63</v>
      </c>
      <c r="C35" s="6" t="s">
        <v>101</v>
      </c>
      <c r="D35" s="6" t="s">
        <v>122</v>
      </c>
      <c r="E35" s="6" t="s">
        <v>123</v>
      </c>
      <c r="F35" s="7">
        <v>1.7580784618633501E-2</v>
      </c>
      <c r="G35" s="7">
        <v>1.4742721480684401E-2</v>
      </c>
      <c r="H35" s="5"/>
      <c r="I35" s="8">
        <v>909825</v>
      </c>
      <c r="J35" s="5" t="s">
        <v>116</v>
      </c>
      <c r="K35" s="6" t="s">
        <v>124</v>
      </c>
      <c r="L35" s="6" t="s">
        <v>23</v>
      </c>
      <c r="M35" s="6" t="s">
        <v>125</v>
      </c>
    </row>
    <row r="36" spans="1:13" ht="19" x14ac:dyDescent="0.2">
      <c r="A36" s="5">
        <v>29</v>
      </c>
      <c r="B36" s="6" t="s">
        <v>63</v>
      </c>
      <c r="C36" s="6" t="s">
        <v>101</v>
      </c>
      <c r="D36" s="6" t="s">
        <v>126</v>
      </c>
      <c r="E36" s="6" t="s">
        <v>152</v>
      </c>
      <c r="F36" s="9">
        <f>100*(EXP(F33)-1)</f>
        <v>8.9285872023621806</v>
      </c>
      <c r="G36" s="10"/>
      <c r="H36" s="5"/>
      <c r="I36" s="8"/>
      <c r="J36" s="5" t="s">
        <v>116</v>
      </c>
      <c r="K36" s="6" t="s">
        <v>117</v>
      </c>
      <c r="L36" s="6" t="s">
        <v>23</v>
      </c>
      <c r="M36" s="6"/>
    </row>
    <row r="37" spans="1:13" ht="76" x14ac:dyDescent="0.2">
      <c r="A37" s="5">
        <v>30</v>
      </c>
      <c r="B37" s="6" t="s">
        <v>63</v>
      </c>
      <c r="C37" s="6" t="s">
        <v>101</v>
      </c>
      <c r="D37" s="6" t="s">
        <v>127</v>
      </c>
      <c r="E37" s="6" t="s">
        <v>128</v>
      </c>
      <c r="F37" s="7">
        <v>6.6807890789193594E-2</v>
      </c>
      <c r="G37" s="7">
        <v>1.91398248358941E-2</v>
      </c>
      <c r="H37" s="5" t="s">
        <v>20</v>
      </c>
      <c r="I37" s="8">
        <v>1064322</v>
      </c>
      <c r="J37" s="5" t="s">
        <v>116</v>
      </c>
      <c r="K37" s="6" t="s">
        <v>129</v>
      </c>
      <c r="L37" s="6" t="s">
        <v>23</v>
      </c>
      <c r="M37" s="6" t="s">
        <v>118</v>
      </c>
    </row>
    <row r="38" spans="1:13" ht="76" x14ac:dyDescent="0.2">
      <c r="A38" s="5">
        <v>31</v>
      </c>
      <c r="B38" s="6" t="s">
        <v>63</v>
      </c>
      <c r="C38" s="6" t="s">
        <v>101</v>
      </c>
      <c r="D38" s="6" t="s">
        <v>130</v>
      </c>
      <c r="E38" s="6" t="s">
        <v>131</v>
      </c>
      <c r="F38" s="7">
        <v>-2.08629209474929E-2</v>
      </c>
      <c r="G38" s="7">
        <v>5.5135357385485998E-3</v>
      </c>
      <c r="H38" s="5" t="s">
        <v>20</v>
      </c>
      <c r="I38" s="8">
        <v>1064322</v>
      </c>
      <c r="J38" s="5" t="s">
        <v>116</v>
      </c>
      <c r="K38" s="6" t="s">
        <v>132</v>
      </c>
      <c r="L38" s="6" t="s">
        <v>23</v>
      </c>
      <c r="M38" s="6" t="s">
        <v>118</v>
      </c>
    </row>
    <row r="39" spans="1:13" ht="133" x14ac:dyDescent="0.2">
      <c r="A39" s="5">
        <v>32</v>
      </c>
      <c r="B39" s="6" t="s">
        <v>63</v>
      </c>
      <c r="C39" s="6" t="s">
        <v>101</v>
      </c>
      <c r="D39" s="6" t="s">
        <v>133</v>
      </c>
      <c r="E39" s="6" t="s">
        <v>134</v>
      </c>
      <c r="F39" s="7">
        <v>3.56622678920397E-3</v>
      </c>
      <c r="G39" s="7">
        <v>9.3936230352462905E-3</v>
      </c>
      <c r="H39" s="5"/>
      <c r="I39" s="8">
        <v>909825</v>
      </c>
      <c r="J39" s="5" t="s">
        <v>116</v>
      </c>
      <c r="K39" s="6" t="s">
        <v>135</v>
      </c>
      <c r="L39" s="6" t="s">
        <v>23</v>
      </c>
      <c r="M39" s="6" t="s">
        <v>125</v>
      </c>
    </row>
    <row r="40" spans="1:13" ht="19" x14ac:dyDescent="0.2">
      <c r="A40" s="5">
        <v>33</v>
      </c>
      <c r="B40" s="6" t="s">
        <v>63</v>
      </c>
      <c r="C40" s="6" t="s">
        <v>101</v>
      </c>
      <c r="D40" s="6" t="s">
        <v>136</v>
      </c>
      <c r="E40" s="6" t="s">
        <v>137</v>
      </c>
      <c r="F40" s="9">
        <f>100*(EXP(F37)-1)</f>
        <v>6.9090076394587863</v>
      </c>
      <c r="G40" s="10"/>
      <c r="H40" s="5"/>
      <c r="I40" s="8"/>
      <c r="J40" s="5" t="s">
        <v>116</v>
      </c>
      <c r="K40" s="6" t="s">
        <v>129</v>
      </c>
      <c r="L40" s="6" t="s">
        <v>23</v>
      </c>
      <c r="M40" s="6"/>
    </row>
    <row r="41" spans="1:13" ht="19" x14ac:dyDescent="0.2">
      <c r="A41" s="5">
        <v>34</v>
      </c>
      <c r="B41" s="6" t="s">
        <v>63</v>
      </c>
      <c r="C41" s="6" t="s">
        <v>79</v>
      </c>
      <c r="D41" s="6" t="s">
        <v>138</v>
      </c>
      <c r="E41" s="6" t="s">
        <v>139</v>
      </c>
      <c r="F41" s="7">
        <v>-6.1716549783391202E-3</v>
      </c>
      <c r="G41" s="7">
        <v>3.8718930001176602E-3</v>
      </c>
      <c r="H41" s="5"/>
      <c r="I41" s="8">
        <v>549483</v>
      </c>
      <c r="J41" s="5" t="s">
        <v>21</v>
      </c>
      <c r="K41" s="6" t="s">
        <v>140</v>
      </c>
      <c r="L41" s="6" t="s">
        <v>23</v>
      </c>
      <c r="M41" s="6"/>
    </row>
    <row r="42" spans="1:13" ht="19" x14ac:dyDescent="0.2">
      <c r="A42" s="5">
        <v>35</v>
      </c>
      <c r="B42" s="6" t="s">
        <v>63</v>
      </c>
      <c r="C42" s="6" t="s">
        <v>79</v>
      </c>
      <c r="D42" s="6" t="s">
        <v>141</v>
      </c>
      <c r="E42" s="6" t="s">
        <v>142</v>
      </c>
      <c r="F42" s="7">
        <v>-9.1426511879247395E-4</v>
      </c>
      <c r="G42" s="7">
        <v>3.6354652203634198E-3</v>
      </c>
      <c r="H42" s="5"/>
      <c r="I42" s="8">
        <v>514839</v>
      </c>
      <c r="J42" s="5" t="s">
        <v>21</v>
      </c>
      <c r="K42" s="6" t="s">
        <v>143</v>
      </c>
      <c r="L42" s="6" t="s">
        <v>23</v>
      </c>
      <c r="M42" s="6"/>
    </row>
    <row r="43" spans="1:13" ht="57" x14ac:dyDescent="0.2">
      <c r="A43" s="5">
        <v>36</v>
      </c>
      <c r="B43" s="6" t="s">
        <v>63</v>
      </c>
      <c r="C43" s="6" t="s">
        <v>79</v>
      </c>
      <c r="D43" s="6" t="s">
        <v>144</v>
      </c>
      <c r="E43" s="6" t="s">
        <v>145</v>
      </c>
      <c r="F43" s="7">
        <v>9.1129163454637795E-3</v>
      </c>
      <c r="G43" s="7">
        <v>4.8792595362684597E-3</v>
      </c>
      <c r="H43" s="5" t="s">
        <v>27</v>
      </c>
      <c r="I43" s="8">
        <v>469515</v>
      </c>
      <c r="J43" s="5" t="s">
        <v>21</v>
      </c>
      <c r="K43" s="6" t="s">
        <v>146</v>
      </c>
      <c r="L43" s="6" t="s">
        <v>23</v>
      </c>
      <c r="M43" s="6" t="s">
        <v>33</v>
      </c>
    </row>
    <row r="44" spans="1:13" ht="57" x14ac:dyDescent="0.2">
      <c r="A44" s="5">
        <v>37</v>
      </c>
      <c r="B44" s="6" t="s">
        <v>63</v>
      </c>
      <c r="C44" s="6" t="s">
        <v>79</v>
      </c>
      <c r="D44" s="6" t="s">
        <v>147</v>
      </c>
      <c r="E44" s="6" t="s">
        <v>148</v>
      </c>
      <c r="F44" s="7">
        <v>-6.9837113381453503E-3</v>
      </c>
      <c r="G44" s="7">
        <v>4.1886266381286801E-3</v>
      </c>
      <c r="H44" s="5"/>
      <c r="I44" s="8">
        <v>440310</v>
      </c>
      <c r="J44" s="5" t="s">
        <v>21</v>
      </c>
      <c r="K44" s="6" t="s">
        <v>149</v>
      </c>
      <c r="L44" s="6" t="s">
        <v>23</v>
      </c>
      <c r="M44" s="6" t="s">
        <v>33</v>
      </c>
    </row>
  </sheetData>
  <mergeCells count="4">
    <mergeCell ref="A2:M2"/>
    <mergeCell ref="A3:M3"/>
    <mergeCell ref="A4:M4"/>
    <mergeCell ref="A5:M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Zemar Hakim</cp:lastModifiedBy>
  <cp:revision>0</cp:revision>
  <dcterms:created xsi:type="dcterms:W3CDTF">2026-10-23T19:39:57Z</dcterms:created>
  <dcterms:modified xsi:type="dcterms:W3CDTF">2026-10-23T21:33:24Z</dcterms:modified>
  <dc:language>en-US</dc:language>
</cp:coreProperties>
</file>